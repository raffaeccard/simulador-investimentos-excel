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fael Eccard\Downloads\"/>
    </mc:Choice>
  </mc:AlternateContent>
  <xr:revisionPtr revIDLastSave="0" documentId="13_ncr:1_{AC7208BD-19B2-49E1-B76B-4770D3B45932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  <definedName name="tipo_perfil">APP!$C$32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G1" i="2"/>
  <c r="A16" i="2"/>
  <c r="C26" i="1"/>
  <c r="C27" i="1"/>
  <c r="D27" i="1" s="1"/>
  <c r="C28" i="1"/>
  <c r="D28" i="1" s="1"/>
  <c r="C25" i="1"/>
  <c r="C24" i="1"/>
  <c r="D24" i="1" s="1"/>
  <c r="C38" i="1"/>
  <c r="C39" i="1"/>
  <c r="C40" i="1"/>
  <c r="C41" i="1"/>
  <c r="C37" i="1"/>
  <c r="C36" i="1"/>
  <c r="D14" i="1"/>
  <c r="H4" i="2"/>
  <c r="A9" i="2"/>
  <c r="A10" i="2"/>
  <c r="A11" i="2"/>
  <c r="A12" i="2"/>
  <c r="A13" i="2"/>
  <c r="A14" i="2"/>
  <c r="A15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D26" i="1"/>
  <c r="D25" i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<sst xmlns="http://schemas.openxmlformats.org/spreadsheetml/2006/main" count="75" uniqueCount="38">
  <si>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</si>
  <si>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</si>
  <si>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</si>
  <si>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</si>
  <si>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</si>
  <si>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</si>
  <si>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</si>
  <si>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</si>
  <si>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</si>
  <si>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</si>
  <si>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</si>
  <si>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</si>
  <si>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</si>
  <si>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</si>
  <si>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</si>
  <si>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</si>
  <si>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</si>
  <si>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</si>
  <si>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</si>
  <si>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</si>
  <si>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</si>
  <si>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</si>
  <si>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</si>
  <si>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</si>
  <si>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</si>
  <si>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</si>
  <si>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</si>
  <si>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</si>
  <si>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</si>
  <si>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</si>
  <si>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</si>
  <si>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</si>
  <si>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</si>
  <si>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</si>
  <si>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Ideias para aprimorar:</t>
  </si>
  <si>
    <t>Planejamento por caixinha</t>
  </si>
  <si>
    <t>Planejamento por tipos de ações</t>
  </si>
  <si>
    <t>Planejamento por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</si>
</sst>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59B36"/>
        <bgColor indexed="64"/>
      </patternFill>
    </fill>
    <fill>
      <patternFill patternType="solid">
        <fgColor rgb="FF2C5D19"/>
        <bgColor indexed="64"/>
      </patternFill>
    </fill>
    <fill>
      <patternFill patternType="solid">
        <fgColor rgb="FF56B8E4"/>
        <bgColor indexed="64"/>
      </patternFill>
    </fill>
    <fill>
      <patternFill patternType="solid">
        <fgColor rgb="FFC234B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4" borderId="2" xfId="0" applyFont="1" applyFill="1" applyBorder="1" applyAlignment="1">
      <alignment horizontal="left" indent="3"/>
    </xf>
    <xf numFmtId="164" fontId="10" fillId="4" borderId="3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0" fontId="9" fillId="4" borderId="7" xfId="0" applyFont="1" applyFill="1" applyBorder="1" applyAlignment="1">
      <alignment horizontal="left" indent="3"/>
    </xf>
    <xf numFmtId="164" fontId="10" fillId="4" borderId="8" xfId="0" applyNumberFormat="1" applyFont="1" applyFill="1" applyBorder="1" applyAlignment="1">
      <alignment horizontal="center"/>
    </xf>
    <xf numFmtId="164" fontId="10" fillId="4" borderId="9" xfId="0" applyNumberFormat="1" applyFont="1" applyFill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0" fontId="11" fillId="0" borderId="15" xfId="0" applyNumberFormat="1" applyFont="1" applyBorder="1" applyAlignment="1">
      <alignment horizontal="center"/>
    </xf>
    <xf numFmtId="8" fontId="11" fillId="4" borderId="15" xfId="0" applyNumberFormat="1" applyFont="1" applyFill="1" applyBorder="1" applyAlignment="1">
      <alignment horizontal="center"/>
    </xf>
    <xf numFmtId="8" fontId="11" fillId="4" borderId="18" xfId="0" applyNumberFormat="1" applyFont="1" applyFill="1" applyBorder="1" applyAlignment="1">
      <alignment horizontal="center"/>
    </xf>
    <xf numFmtId="164" fontId="10" fillId="0" borderId="12" xfId="1" applyNumberFormat="1" applyFont="1" applyBorder="1" applyAlignment="1">
      <alignment horizontal="center"/>
    </xf>
    <xf numFmtId="10" fontId="10" fillId="0" borderId="15" xfId="0" applyNumberFormat="1" applyFont="1" applyBorder="1" applyAlignment="1">
      <alignment horizontal="center"/>
    </xf>
    <xf numFmtId="164" fontId="10" fillId="6" borderId="18" xfId="0" applyNumberFormat="1" applyFont="1" applyFill="1" applyBorder="1" applyAlignment="1">
      <alignment horizontal="center"/>
    </xf>
    <xf numFmtId="0" fontId="2" fillId="2" borderId="0" xfId="3"/>
    <xf numFmtId="0" fontId="3" fillId="6" borderId="0" xfId="0" applyFont="1" applyFill="1"/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0" xfId="0" applyFont="1" applyFill="1" applyBorder="1" applyAlignment="1">
      <alignment horizontal="left" indent="3"/>
    </xf>
    <xf numFmtId="0" fontId="9" fillId="6" borderId="11" xfId="0" applyFont="1" applyFill="1" applyBorder="1" applyAlignment="1">
      <alignment horizontal="left" indent="3"/>
    </xf>
    <xf numFmtId="0" fontId="9" fillId="6" borderId="13" xfId="0" applyFont="1" applyFill="1" applyBorder="1" applyAlignment="1">
      <alignment horizontal="left" indent="3"/>
    </xf>
    <xf numFmtId="0" fontId="9" fillId="6" borderId="14" xfId="0" applyFont="1" applyFill="1" applyBorder="1" applyAlignment="1">
      <alignment horizontal="left" indent="3"/>
    </xf>
    <xf numFmtId="0" fontId="9" fillId="6" borderId="16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12" fillId="4" borderId="13" xfId="0" applyFont="1" applyFill="1" applyBorder="1" applyAlignment="1">
      <alignment horizontal="left" indent="3"/>
    </xf>
    <xf numFmtId="0" fontId="12" fillId="4" borderId="14" xfId="0" applyFont="1" applyFill="1" applyBorder="1" applyAlignment="1">
      <alignment horizontal="left" indent="3"/>
    </xf>
    <xf numFmtId="0" fontId="12" fillId="4" borderId="16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2" fillId="2" borderId="0" xfId="3" applyAlignment="1">
      <alignment horizontal="center"/>
    </xf>
    <xf numFmtId="164" fontId="3" fillId="6" borderId="0" xfId="1" applyNumberFormat="1" applyFont="1" applyFill="1" applyAlignment="1">
      <alignment horizontal="center"/>
    </xf>
    <xf numFmtId="0" fontId="5" fillId="5" borderId="19" xfId="0" applyFont="1" applyFill="1" applyBorder="1" applyAlignment="1">
      <alignment horizontal="right" vertical="center"/>
    </xf>
    <xf numFmtId="0" fontId="6" fillId="5" borderId="20" xfId="0" applyFont="1" applyFill="1" applyBorder="1" applyAlignment="1">
      <alignment horizontal="right"/>
    </xf>
    <xf numFmtId="0" fontId="5" fillId="5" borderId="21" xfId="0" applyFont="1" applyFill="1" applyBorder="1" applyAlignment="1">
      <alignment horizontal="right" vertical="center"/>
    </xf>
    <xf numFmtId="0" fontId="8" fillId="3" borderId="21" xfId="0" applyFont="1" applyFill="1" applyBorder="1" applyAlignment="1">
      <alignment horizontal="center" vertical="center"/>
    </xf>
    <xf numFmtId="0" fontId="0" fillId="0" borderId="0" xfId="0" applyBorder="1"/>
    <xf numFmtId="9" fontId="0" fillId="0" borderId="0" xfId="2" applyFont="1"/>
    <xf numFmtId="0" fontId="13" fillId="11" borderId="22" xfId="0" applyFont="1" applyFill="1" applyBorder="1" applyAlignment="1">
      <alignment horizontal="center"/>
    </xf>
    <xf numFmtId="164" fontId="0" fillId="6" borderId="24" xfId="0" applyNumberFormat="1" applyFill="1" applyBorder="1" applyAlignment="1">
      <alignment horizontal="center"/>
    </xf>
    <xf numFmtId="0" fontId="13" fillId="10" borderId="25" xfId="0" applyFont="1" applyFill="1" applyBorder="1" applyAlignment="1">
      <alignment horizontal="center"/>
    </xf>
    <xf numFmtId="164" fontId="0" fillId="6" borderId="27" xfId="0" applyNumberFormat="1" applyFill="1" applyBorder="1" applyAlignment="1">
      <alignment horizontal="center"/>
    </xf>
    <xf numFmtId="0" fontId="13" fillId="13" borderId="25" xfId="0" applyFont="1" applyFill="1" applyBorder="1" applyAlignment="1">
      <alignment horizontal="center"/>
    </xf>
    <xf numFmtId="0" fontId="13" fillId="14" borderId="25" xfId="0" applyFont="1" applyFill="1" applyBorder="1" applyAlignment="1">
      <alignment horizontal="center"/>
    </xf>
    <xf numFmtId="0" fontId="13" fillId="15" borderId="25" xfId="0" applyFont="1" applyFill="1" applyBorder="1" applyAlignment="1">
      <alignment horizontal="center"/>
    </xf>
    <xf numFmtId="0" fontId="13" fillId="12" borderId="28" xfId="0" applyFont="1" applyFill="1" applyBorder="1" applyAlignment="1">
      <alignment horizontal="center"/>
    </xf>
    <xf numFmtId="164" fontId="0" fillId="6" borderId="30" xfId="0" applyNumberForma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7" borderId="32" xfId="0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9" fontId="13" fillId="11" borderId="23" xfId="2" applyFont="1" applyFill="1" applyBorder="1" applyAlignment="1">
      <alignment horizontal="center"/>
    </xf>
    <xf numFmtId="9" fontId="13" fillId="10" borderId="26" xfId="2" applyFont="1" applyFill="1" applyBorder="1" applyAlignment="1">
      <alignment horizontal="center"/>
    </xf>
    <xf numFmtId="9" fontId="13" fillId="13" borderId="26" xfId="2" applyFont="1" applyFill="1" applyBorder="1" applyAlignment="1">
      <alignment horizontal="center"/>
    </xf>
    <xf numFmtId="9" fontId="13" fillId="14" borderId="26" xfId="2" applyFont="1" applyFill="1" applyBorder="1" applyAlignment="1">
      <alignment horizontal="center"/>
    </xf>
    <xf numFmtId="9" fontId="13" fillId="15" borderId="26" xfId="2" applyFont="1" applyFill="1" applyBorder="1" applyAlignment="1">
      <alignment horizontal="center"/>
    </xf>
    <xf numFmtId="9" fontId="13" fillId="12" borderId="29" xfId="2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C234B4"/>
      <color rgb="FF56B8E4"/>
      <color rgb="FF2C5D19"/>
      <color rgb="FF259B36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AF-44F9-8409-38A4F4BAA0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F-44F9-8409-38A4F4BAA0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AF-44F9-8409-38A4F4BAA0A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AF-44F9-8409-38A4F4BAA0A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AF-44F9-8409-38A4F4BAA0A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AF-44F9-8409-38A4F4BAA0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4</xdr:col>
      <xdr:colOff>221114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343023</xdr:colOff>
      <xdr:row>42</xdr:row>
      <xdr:rowOff>97971</xdr:rowOff>
    </xdr:from>
    <xdr:to>
      <xdr:col>3</xdr:col>
      <xdr:colOff>918152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83"/>
  <sheetViews>
    <sheetView showGridLines="0" tabSelected="1" topLeftCell="A32" zoomScale="110" zoomScaleNormal="110" workbookViewId="0">
      <selection activeCell="C32" sqref="C32:D32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8.28515625" customWidth="1"/>
    <col min="4" max="4" width="15" customWidth="1"/>
    <col min="5" max="8" width="3.5703125" customWidth="1"/>
    <col min="9" max="16384" width="8.7109375" hidden="1"/>
  </cols>
  <sheetData>
    <row r="10" spans="1:4" ht="15.75" thickBot="1" x14ac:dyDescent="0.3"/>
    <row r="11" spans="1:4" ht="26.25" x14ac:dyDescent="0.3">
      <c r="B11" s="49" t="s">
        <v>15</v>
      </c>
      <c r="C11" s="50"/>
      <c r="D11" s="51"/>
    </row>
    <row r="12" spans="1:4" ht="17.25" x14ac:dyDescent="0.3">
      <c r="A12" s="1"/>
      <c r="B12" s="34" t="s">
        <v>14</v>
      </c>
      <c r="C12" s="35"/>
      <c r="D12" s="18">
        <v>2000</v>
      </c>
    </row>
    <row r="13" spans="1:4" ht="17.25" x14ac:dyDescent="0.3">
      <c r="A13" s="1"/>
      <c r="B13" s="36" t="s">
        <v>13</v>
      </c>
      <c r="C13" s="37"/>
      <c r="D13" s="19">
        <v>8.9999999999999993E-3</v>
      </c>
    </row>
    <row r="14" spans="1:4" ht="18" thickBot="1" x14ac:dyDescent="0.35">
      <c r="A14" s="1"/>
      <c r="B14" s="38" t="s">
        <v>33</v>
      </c>
      <c r="C14" s="39"/>
      <c r="D14" s="20">
        <f>D12*30%</f>
        <v>600</v>
      </c>
    </row>
    <row r="15" spans="1:4" ht="15.75" thickBot="1" x14ac:dyDescent="0.3"/>
    <row r="16" spans="1:4" ht="28.5" customHeight="1" x14ac:dyDescent="0.25">
      <c r="B16" s="44" t="s">
        <v>5</v>
      </c>
      <c r="C16" s="45"/>
      <c r="D16" s="46"/>
    </row>
    <row r="17" spans="1:6" ht="17.25" x14ac:dyDescent="0.3">
      <c r="B17" s="34" t="s">
        <v>0</v>
      </c>
      <c r="C17" s="35"/>
      <c r="D17" s="13">
        <v>500</v>
      </c>
    </row>
    <row r="18" spans="1:6" ht="17.25" x14ac:dyDescent="0.3">
      <c r="B18" s="36" t="s">
        <v>1</v>
      </c>
      <c r="C18" s="37"/>
      <c r="D18" s="14">
        <v>5</v>
      </c>
    </row>
    <row r="19" spans="1:6" ht="17.25" x14ac:dyDescent="0.3">
      <c r="B19" s="36" t="s">
        <v>2</v>
      </c>
      <c r="C19" s="37"/>
      <c r="D19" s="15">
        <v>1.0789999999999999E-2</v>
      </c>
    </row>
    <row r="20" spans="1:6" ht="17.25" x14ac:dyDescent="0.3">
      <c r="B20" s="40" t="s">
        <v>3</v>
      </c>
      <c r="C20" s="41"/>
      <c r="D20" s="16">
        <f>FV(taxa_mensal,qtd_anos*12,aporte*-1)</f>
        <v>41888.456999243819</v>
      </c>
    </row>
    <row r="21" spans="1:6" ht="18" thickBot="1" x14ac:dyDescent="0.35">
      <c r="B21" s="42" t="s">
        <v>4</v>
      </c>
      <c r="C21" s="43"/>
      <c r="D21" s="17">
        <f>patrimonio*rendimento_carteira</f>
        <v>376.99611299319434</v>
      </c>
      <c r="F21" s="3"/>
    </row>
    <row r="22" spans="1:6" ht="15.75" thickBot="1" x14ac:dyDescent="0.3"/>
    <row r="23" spans="1:6" ht="30.75" x14ac:dyDescent="0.25">
      <c r="A23" s="1"/>
      <c r="B23" s="44" t="s">
        <v>11</v>
      </c>
      <c r="C23" s="45"/>
      <c r="D23" s="52" t="s">
        <v>12</v>
      </c>
    </row>
    <row r="24" spans="1:6" ht="17.25" x14ac:dyDescent="0.3">
      <c r="A24" s="1">
        <v>2</v>
      </c>
      <c r="B24" s="5" t="s">
        <v>6</v>
      </c>
      <c r="C24" s="6">
        <f>FV($D$19,$A24*12,aporte*-1)</f>
        <v>13613.813648822608</v>
      </c>
      <c r="D24" s="7">
        <f>C24*rendimento_carteira</f>
        <v>122.52432283940347</v>
      </c>
    </row>
    <row r="25" spans="1:6" ht="17.25" x14ac:dyDescent="0.3">
      <c r="A25" s="1">
        <v>5</v>
      </c>
      <c r="B25" s="8" t="s">
        <v>7</v>
      </c>
      <c r="C25" s="6">
        <f>FV($D$19,$A25*12,aporte*-1)</f>
        <v>41888.456999243819</v>
      </c>
      <c r="D25" s="9">
        <f>C25*rendimento_carteira</f>
        <v>376.99611299319434</v>
      </c>
    </row>
    <row r="26" spans="1:6" ht="17.25" x14ac:dyDescent="0.3">
      <c r="A26" s="1">
        <v>10</v>
      </c>
      <c r="B26" s="8" t="s">
        <v>8</v>
      </c>
      <c r="C26" s="6">
        <f>FV($D$19,$A26*12,aporte*-1)</f>
        <v>121642.1062650861</v>
      </c>
      <c r="D26" s="9">
        <f>C26*rendimento_carteira</f>
        <v>1094.7789563857748</v>
      </c>
    </row>
    <row r="27" spans="1:6" ht="17.25" x14ac:dyDescent="0.3">
      <c r="A27" s="1">
        <v>20</v>
      </c>
      <c r="B27" s="8" t="s">
        <v>9</v>
      </c>
      <c r="C27" s="6">
        <f>FV($D$19,$A27*12,aporte*-1)</f>
        <v>562599.20004854025</v>
      </c>
      <c r="D27" s="9">
        <f>C27*rendimento_carteira</f>
        <v>5063.3928004368618</v>
      </c>
    </row>
    <row r="28" spans="1:6" ht="18" thickBot="1" x14ac:dyDescent="0.35">
      <c r="A28" s="1">
        <v>30</v>
      </c>
      <c r="B28" s="10" t="s">
        <v>10</v>
      </c>
      <c r="C28" s="11">
        <f>FV($D$19,$A28*12,aporte*-1)</f>
        <v>2161084.8275023573</v>
      </c>
      <c r="D28" s="12">
        <f>C28*rendimento_carteira</f>
        <v>19449.763447521214</v>
      </c>
    </row>
    <row r="32" spans="1:6" x14ac:dyDescent="0.25">
      <c r="B32" s="21" t="s">
        <v>20</v>
      </c>
      <c r="C32" s="47" t="s">
        <v>18</v>
      </c>
      <c r="D32" s="47"/>
    </row>
    <row r="33" spans="2:4" x14ac:dyDescent="0.25">
      <c r="B33" s="22" t="s">
        <v>19</v>
      </c>
      <c r="C33" s="48">
        <f>aporte</f>
        <v>500</v>
      </c>
      <c r="D33" s="48"/>
    </row>
    <row r="34" spans="2:4" x14ac:dyDescent="0.25">
      <c r="B34" s="53"/>
    </row>
    <row r="35" spans="2:4" x14ac:dyDescent="0.25">
      <c r="B35" s="64" t="s">
        <v>21</v>
      </c>
      <c r="C35" s="65" t="s">
        <v>22</v>
      </c>
      <c r="D35" s="66" t="s">
        <v>23</v>
      </c>
    </row>
    <row r="36" spans="2:4" x14ac:dyDescent="0.25">
      <c r="B36" s="55" t="s">
        <v>24</v>
      </c>
      <c r="C36" s="67">
        <f>VLOOKUP(tipo_perfil&amp;"-"&amp;B36,Planilha2!$A:$D,4,FALSE)</f>
        <v>0.5</v>
      </c>
      <c r="D36" s="56">
        <f>C36*$C$33</f>
        <v>250</v>
      </c>
    </row>
    <row r="37" spans="2:4" x14ac:dyDescent="0.25">
      <c r="B37" s="57" t="s">
        <v>25</v>
      </c>
      <c r="C37" s="68">
        <f>VLOOKUP(tipo_perfil&amp;"-"&amp;B37,Planilha2!$A:$D,4,FALSE)</f>
        <v>0.1</v>
      </c>
      <c r="D37" s="58">
        <f t="shared" ref="D37:D41" si="0">C37*$C$33</f>
        <v>50</v>
      </c>
    </row>
    <row r="38" spans="2:4" x14ac:dyDescent="0.25">
      <c r="B38" s="59" t="s">
        <v>26</v>
      </c>
      <c r="C38" s="69">
        <f>VLOOKUP(tipo_perfil&amp;"-"&amp;B38,Planilha2!$A:$D,4,FALSE)</f>
        <v>0.05</v>
      </c>
      <c r="D38" s="58">
        <f t="shared" si="0"/>
        <v>25</v>
      </c>
    </row>
    <row r="39" spans="2:4" x14ac:dyDescent="0.25">
      <c r="B39" s="60" t="s">
        <v>27</v>
      </c>
      <c r="C39" s="70">
        <f>VLOOKUP(tipo_perfil&amp;"-"&amp;B39,Planilha2!$A:$D,4,FALSE)</f>
        <v>0.05</v>
      </c>
      <c r="D39" s="58">
        <f t="shared" si="0"/>
        <v>25</v>
      </c>
    </row>
    <row r="40" spans="2:4" x14ac:dyDescent="0.25">
      <c r="B40" s="61" t="s">
        <v>28</v>
      </c>
      <c r="C40" s="71">
        <f>VLOOKUP(tipo_perfil&amp;"-"&amp;B40,Planilha2!$A:$D,4,FALSE)</f>
        <v>0.2</v>
      </c>
      <c r="D40" s="58">
        <f t="shared" si="0"/>
        <v>100</v>
      </c>
    </row>
    <row r="41" spans="2:4" x14ac:dyDescent="0.25">
      <c r="B41" s="62" t="s">
        <v>29</v>
      </c>
      <c r="C41" s="72">
        <f>VLOOKUP(tipo_perfil&amp;"-"&amp;B41,Planilha2!$A:$D,4,FALSE)</f>
        <v>0.1</v>
      </c>
      <c r="D41" s="63">
        <f t="shared" si="0"/>
        <v>50</v>
      </c>
    </row>
    <row r="42" spans="2:4" x14ac:dyDescent="0.25">
      <c r="B42" s="23"/>
      <c r="C42" s="23"/>
      <c r="D42" s="24">
        <f>SUM(D36:D41)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2">
    <mergeCell ref="C32:D32"/>
    <mergeCell ref="C33:D33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1:H21"/>
  <sheetViews>
    <sheetView showGridLines="0" topLeftCell="B1" zoomScale="115" zoomScaleNormal="115" workbookViewId="0">
      <selection activeCell="G13" sqref="G13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6" max="6" width="9.140625" customWidth="1"/>
    <col min="7" max="7" width="15.28515625" customWidth="1"/>
  </cols>
  <sheetData>
    <row r="1" spans="1:8" x14ac:dyDescent="0.25">
      <c r="G1" t="str">
        <f>B16&amp;"-"&amp;C16</f>
        <v>Agressivo-TIJOLO</v>
      </c>
      <c r="H1" s="54">
        <f>VLOOKUP(G1,$A:$D,4,FALSE)</f>
        <v>0.1</v>
      </c>
    </row>
    <row r="2" spans="1:8" x14ac:dyDescent="0.25">
      <c r="A2" s="32" t="s">
        <v>31</v>
      </c>
      <c r="B2" s="32" t="s">
        <v>20</v>
      </c>
      <c r="C2" s="33" t="s">
        <v>21</v>
      </c>
      <c r="D2" s="33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1" t="s">
        <v>32</v>
      </c>
      <c r="H4" s="31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  <c r="F7" s="1" t="s">
        <v>34</v>
      </c>
    </row>
    <row r="8" spans="1:8" ht="15.75" thickBot="1" x14ac:dyDescent="0.3">
      <c r="A8" s="25" t="str">
        <f t="shared" si="0"/>
        <v>Conservador-HOTELARIAS</v>
      </c>
      <c r="B8" s="25" t="s">
        <v>16</v>
      </c>
      <c r="C8" s="26" t="s">
        <v>29</v>
      </c>
      <c r="D8" s="27">
        <v>0</v>
      </c>
      <c r="F8" s="1" t="s">
        <v>35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  <c r="F9" s="1" t="s">
        <v>36</v>
      </c>
    </row>
    <row r="10" spans="1:8" x14ac:dyDescent="0.25">
      <c r="A10" s="28" t="str">
        <f t="shared" si="0"/>
        <v>Moderado-TIJOLO</v>
      </c>
      <c r="B10" s="28" t="s">
        <v>17</v>
      </c>
      <c r="C10" s="29" t="s">
        <v>25</v>
      </c>
      <c r="D10" s="30">
        <v>0.35</v>
      </c>
      <c r="F10" s="1" t="s">
        <v>37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25" t="str">
        <f t="shared" si="0"/>
        <v>Moderado-HOTELARIAS</v>
      </c>
      <c r="B14" s="25" t="s">
        <v>17</v>
      </c>
      <c r="C14" s="26" t="s">
        <v>29</v>
      </c>
      <c r="D14" s="27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  <vt:lpstr>tipo_perfil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Raffael Eccard</cp:lastModifiedBy>
  <dcterms:created xsi:type="dcterms:W3CDTF">2025-04-16T18:38:03Z</dcterms:created>
  <dcterms:modified xsi:type="dcterms:W3CDTF">2026-01-28T15:57:09Z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